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74eb72b13131d6f2/Documentos/UTP Graduação/PG Ciência/Alunos 2026-1/Davi E Lopes de Souza_Lucas Muller Scuzziato/"/>
    </mc:Choice>
  </mc:AlternateContent>
  <xr:revisionPtr revIDLastSave="10" documentId="8_{E535B315-E43B-4762-AD05-126B2370A093}" xr6:coauthVersionLast="47" xr6:coauthVersionMax="47" xr10:uidLastSave="{026EE713-68DC-41A3-8BAE-27D1F86A490C}"/>
  <bookViews>
    <workbookView xWindow="-108" yWindow="-108" windowWidth="23256" windowHeight="12456" xr2:uid="{23EE4D30-E44B-4B6A-996A-FBF4502957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7" i="1"/>
  <c r="E6" i="1"/>
  <c r="E8" i="1"/>
  <c r="E9" i="1"/>
  <c r="E5" i="1"/>
  <c r="E4" i="1"/>
  <c r="E11" i="1" l="1"/>
  <c r="E1" i="1" s="1"/>
</calcChain>
</file>

<file path=xl/sharedStrings.xml><?xml version="1.0" encoding="utf-8"?>
<sst xmlns="http://schemas.openxmlformats.org/spreadsheetml/2006/main" count="22" uniqueCount="22">
  <si>
    <t>Aluno:</t>
  </si>
  <si>
    <t>DAVI EMANNOEL LOPES DE SOUZA
LUCAS MÜLLER SCUZZIATO</t>
  </si>
  <si>
    <t>Item</t>
  </si>
  <si>
    <t>Critério</t>
  </si>
  <si>
    <t xml:space="preserve">Avaliação </t>
  </si>
  <si>
    <t>Justificativa</t>
  </si>
  <si>
    <t>Nota</t>
  </si>
  <si>
    <t>Justificativa (1,0)</t>
  </si>
  <si>
    <t>A justificativa é pertinente e bem relacionada ao tema.</t>
  </si>
  <si>
    <t>Definição dos objetivos (1,0)</t>
  </si>
  <si>
    <t>O problema, a hipótese, o objetivo geral e os objetivos específicos estão claros, coerentes e compatíveis com a proposta técnica.</t>
  </si>
  <si>
    <t>Clareza e pertinência da revisão da literatura (2,0)</t>
  </si>
  <si>
    <t>A fundamentação aborda NAS, nuvem, SBC, OMV, Nextcloud e Tailscale de forma coerente. Precisa apenas fortalecer a relação entre alguns conceitos e fontes mais específicas.</t>
  </si>
  <si>
    <t>Trabalhos relacionados (2,0)</t>
  </si>
  <si>
    <t>O capítulo apresenta comparação organizada e pertinente, especialmente pelo Quadro 4.</t>
  </si>
  <si>
    <t>Clareza e pertinência da metodologia proposta (1,0)</t>
  </si>
  <si>
    <t>A metodologia está bem detalhada, com infraestrutura, instalação, ferramentas, cenários e métricas de teste. É um dos pontos fortes do trabalho.</t>
  </si>
  <si>
    <t>Bibliografia consultada (1,0)</t>
  </si>
  <si>
    <t>A bibliografia é compatível com o texto, mas há problema pontual de citação da IDC e necessidade de conferir fontes de mercado e trabalhos relacionados.</t>
  </si>
  <si>
    <t>Obediência às normas (2,0)</t>
  </si>
  <si>
    <t>O trabalho apresenta boa organização, listas, quadros, figuras, sumário e referências. Deve revisar padronização das fontes de figuras/quadros, referências online e alguns detalhes de formatação.</t>
  </si>
  <si>
    <t>Média: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</si>
</sst>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EE18-0D7C-4C8A-9DD0-52EE49B7CA2A}">
  <dimension ref="A1:E11"/>
  <sheetViews>
    <sheetView tabSelected="1" zoomScale="150" zoomScaleNormal="150" workbookViewId="0">
      <selection activeCell="B10" sqref="B10"/>
    </sheetView>
  </sheetViews>
  <sheetFormatPr defaultRowHeight="14.45"/>
  <cols>
    <col min="2" max="2" width="17.7109375" customWidth="1"/>
    <col min="3" max="3" width="11.85546875" customWidth="1"/>
    <col min="4" max="4" width="54.42578125" customWidth="1"/>
  </cols>
  <sheetData>
    <row r="1" spans="1:5" ht="29.45" customHeight="1">
      <c r="A1" s="8" t="s">
        <v>0</v>
      </c>
      <c r="B1" s="11" t="s">
        <v>1</v>
      </c>
      <c r="C1" s="12"/>
      <c r="D1" s="13"/>
      <c r="E1" s="7">
        <f>E11</f>
        <v>8.7999999999999989</v>
      </c>
    </row>
    <row r="3" spans="1:5">
      <c r="A3" s="5" t="s">
        <v>2</v>
      </c>
      <c r="B3" s="5" t="s">
        <v>3</v>
      </c>
      <c r="C3" s="5" t="s">
        <v>4</v>
      </c>
      <c r="D3" s="6" t="s">
        <v>5</v>
      </c>
      <c r="E3" s="5" t="s">
        <v>6</v>
      </c>
    </row>
    <row r="4" spans="1:5" ht="31.5" customHeight="1">
      <c r="A4" s="4">
        <v>1</v>
      </c>
      <c r="B4" s="4" t="s">
        <v>7</v>
      </c>
      <c r="C4" s="9">
        <v>1</v>
      </c>
      <c r="D4" s="10" t="s">
        <v>8</v>
      </c>
      <c r="E4" s="1">
        <f>(1)*C4</f>
        <v>1</v>
      </c>
    </row>
    <row r="5" spans="1:5" ht="43.15">
      <c r="A5" s="4">
        <v>2</v>
      </c>
      <c r="B5" s="4" t="s">
        <v>9</v>
      </c>
      <c r="C5" s="9">
        <v>1</v>
      </c>
      <c r="D5" s="10" t="s">
        <v>10</v>
      </c>
      <c r="E5" s="1">
        <f>(1)*C5</f>
        <v>1</v>
      </c>
    </row>
    <row r="6" spans="1:5" ht="77.25" customHeight="1">
      <c r="A6" s="4">
        <v>3</v>
      </c>
      <c r="B6" s="4" t="s">
        <v>11</v>
      </c>
      <c r="C6" s="9">
        <v>0.8</v>
      </c>
      <c r="D6" s="10" t="s">
        <v>12</v>
      </c>
      <c r="E6" s="1">
        <f>(2)*C6</f>
        <v>1.6</v>
      </c>
    </row>
    <row r="7" spans="1:5" ht="63.75" customHeight="1">
      <c r="A7" s="4">
        <v>4</v>
      </c>
      <c r="B7" s="4" t="s">
        <v>13</v>
      </c>
      <c r="C7" s="9">
        <v>1</v>
      </c>
      <c r="D7" s="10" t="s">
        <v>14</v>
      </c>
      <c r="E7" s="1">
        <f>(2)*C7</f>
        <v>2</v>
      </c>
    </row>
    <row r="8" spans="1:5" ht="57.6">
      <c r="A8" s="4">
        <v>5</v>
      </c>
      <c r="B8" s="4" t="s">
        <v>15</v>
      </c>
      <c r="C8" s="9">
        <v>1</v>
      </c>
      <c r="D8" s="10" t="s">
        <v>16</v>
      </c>
      <c r="E8" s="1">
        <f t="shared" ref="E8:E9" si="0">(1)*C8</f>
        <v>1</v>
      </c>
    </row>
    <row r="9" spans="1:5" ht="43.15">
      <c r="A9" s="4">
        <v>6</v>
      </c>
      <c r="B9" s="4" t="s">
        <v>17</v>
      </c>
      <c r="C9" s="9">
        <v>1</v>
      </c>
      <c r="D9" s="10" t="s">
        <v>18</v>
      </c>
      <c r="E9" s="1">
        <f t="shared" si="0"/>
        <v>1</v>
      </c>
    </row>
    <row r="10" spans="1:5" ht="90" customHeight="1">
      <c r="A10" s="4">
        <v>7</v>
      </c>
      <c r="B10" s="4" t="s">
        <v>19</v>
      </c>
      <c r="C10" s="9">
        <v>0.6</v>
      </c>
      <c r="D10" s="10" t="s">
        <v>20</v>
      </c>
      <c r="E10" s="1">
        <f>(2)*C10</f>
        <v>1.2</v>
      </c>
    </row>
    <row r="11" spans="1:5" ht="90" customHeight="1">
      <c r="D11" s="3" t="s">
        <v>21</v>
      </c>
      <c r="E11" s="2">
        <f>SUM(E4:E10)</f>
        <v>8.7999999999999989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  <ignoredErrors>
    <ignoredError sqref="E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Zatti</dc:creator>
  <cp:keywords/>
  <dc:description/>
  <cp:lastModifiedBy>LUCAS MULLER SCUZZIATO</cp:lastModifiedBy>
  <cp:revision/>
  <dcterms:created xsi:type="dcterms:W3CDTF">2026-06-28T15:25:31Z</dcterms:created>
  <dcterms:modified xsi:type="dcterms:W3CDTF">2026-06-30T15:24:32Z</dcterms:modified>
  <cp:category/>
  <cp:contentStatus/>
</cp:coreProperties>
</file>